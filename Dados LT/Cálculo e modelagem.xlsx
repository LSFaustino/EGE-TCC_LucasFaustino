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s Faustino.DESKTOP-SA8CCI4\Downloads\Referência bibliografica\Dados LT\"/>
    </mc:Choice>
  </mc:AlternateContent>
  <bookViews>
    <workbookView xWindow="0" yWindow="0" windowWidth="16815" windowHeight="6360" tabRatio="895" activeTab="4"/>
  </bookViews>
  <sheets>
    <sheet name="Premissa" sheetId="4" r:id="rId1"/>
    <sheet name="Calculo_S_Compensação_200km" sheetId="7" r:id="rId2"/>
    <sheet name="Calculo_S_Compensação_330km" sheetId="8" r:id="rId3"/>
    <sheet name="Calculo_S_Compensação_400km" sheetId="6" r:id="rId4"/>
    <sheet name="Compensação_Reativa_P_400km" sheetId="12" r:id="rId5"/>
  </sheets>
  <calcPr calcId="152511"/>
  <extLst>
    <ext uri="GoogleSheetsCustomDataVersion2">
      <go:sheetsCustomData xmlns:go="http://customooxmlschemas.google.com/" r:id="rId7" roundtripDataChecksum="8FYqNyjrGEdXstjR2BpKe8G0rnt7ma794cH+HphaAik="/>
    </ext>
  </extLst>
</workbook>
</file>

<file path=xl/calcChain.xml><?xml version="1.0" encoding="utf-8"?>
<calcChain xmlns="http://schemas.openxmlformats.org/spreadsheetml/2006/main">
  <c r="C6" i="12" l="1"/>
  <c r="C7" i="12"/>
  <c r="E5" i="12" s="1"/>
  <c r="E6" i="12" l="1"/>
  <c r="D11" i="12" s="1"/>
  <c r="D8" i="8" l="1"/>
  <c r="C18" i="8" s="1"/>
  <c r="D6" i="8"/>
  <c r="C19" i="8" s="1"/>
  <c r="D5" i="8"/>
  <c r="D8" i="7"/>
  <c r="C18" i="7" s="1"/>
  <c r="C20" i="7" s="1"/>
  <c r="C21" i="7" s="1"/>
  <c r="D6" i="7"/>
  <c r="C19" i="7" s="1"/>
  <c r="D5" i="7"/>
  <c r="D8" i="6"/>
  <c r="C18" i="6" s="1"/>
  <c r="C20" i="6" s="1"/>
  <c r="C21" i="6" s="1"/>
  <c r="D6" i="6"/>
  <c r="C19" i="6" s="1"/>
  <c r="D5" i="6"/>
  <c r="C20" i="8" l="1"/>
  <c r="C21" i="8" s="1"/>
  <c r="F22" i="7"/>
  <c r="E22" i="7"/>
  <c r="C22" i="7"/>
  <c r="J5" i="7" s="1"/>
  <c r="C22" i="6"/>
  <c r="J5" i="6" s="1"/>
  <c r="F22" i="6"/>
  <c r="E22" i="6"/>
  <c r="F22" i="8" l="1"/>
  <c r="C22" i="8"/>
  <c r="J5" i="8" s="1"/>
  <c r="E22" i="8"/>
  <c r="J6" i="7"/>
  <c r="M6" i="7"/>
  <c r="M6" i="6"/>
  <c r="J6" i="6"/>
  <c r="J8" i="6" s="1"/>
  <c r="J9" i="6" s="1"/>
  <c r="D8" i="4"/>
  <c r="J6" i="8" l="1"/>
  <c r="M6" i="8"/>
  <c r="J8" i="7"/>
  <c r="J9" i="7" s="1"/>
  <c r="N11" i="6"/>
  <c r="J10" i="6"/>
  <c r="J12" i="6" s="1"/>
  <c r="J14" i="6" s="1"/>
  <c r="O11" i="6"/>
  <c r="J8" i="8" l="1"/>
  <c r="J9" i="8" s="1"/>
  <c r="O11" i="7"/>
  <c r="N11" i="7"/>
  <c r="J10" i="7"/>
  <c r="J12" i="7" s="1"/>
  <c r="J14" i="7" s="1"/>
  <c r="J10" i="8" l="1"/>
  <c r="J12" i="8" s="1"/>
  <c r="J14" i="8" s="1"/>
  <c r="O11" i="8"/>
  <c r="N11" i="8"/>
</calcChain>
</file>

<file path=xl/sharedStrings.xml><?xml version="1.0" encoding="utf-8"?>
<sst xmlns="http://schemas.openxmlformats.org/spreadsheetml/2006/main" count="131" uniqueCount="53">
  <si>
    <t xml:space="preserve">Dados da linha de transmissão </t>
  </si>
  <si>
    <t>Comprimento (km)</t>
  </si>
  <si>
    <t xml:space="preserve">Em posse dos dados é preciso calcular os parametros elétricos concentrados da linha: </t>
  </si>
  <si>
    <t xml:space="preserve">Resistencia (r) </t>
  </si>
  <si>
    <t xml:space="preserve">Indutância (l) </t>
  </si>
  <si>
    <t xml:space="preserve">Capacitancia (c) </t>
  </si>
  <si>
    <t xml:space="preserve">Condutância (g) </t>
  </si>
  <si>
    <t>Frequência Angular (ω)</t>
  </si>
  <si>
    <t>500kV</t>
  </si>
  <si>
    <t>H/km</t>
  </si>
  <si>
    <t>F/km</t>
  </si>
  <si>
    <t>S/km</t>
  </si>
  <si>
    <t>rad/s</t>
  </si>
  <si>
    <t>Ω/km</t>
  </si>
  <si>
    <t>Z'</t>
  </si>
  <si>
    <t>Y'</t>
  </si>
  <si>
    <t>Z'*Y'</t>
  </si>
  <si>
    <t>RAIZ(Z'*Y')</t>
  </si>
  <si>
    <t xml:space="preserve">Mod. γ </t>
  </si>
  <si>
    <t>γ*comp. LT</t>
  </si>
  <si>
    <t>Graus</t>
  </si>
  <si>
    <t>Radianos</t>
  </si>
  <si>
    <t>A-B</t>
  </si>
  <si>
    <t>A-C</t>
  </si>
  <si>
    <t>Impedância Unitária (Ω/km)</t>
  </si>
  <si>
    <r>
      <t>Suceptância Unitária (</t>
    </r>
    <r>
      <rPr>
        <sz val="14"/>
        <color theme="1"/>
        <rFont val="Calibri"/>
        <family val="2"/>
      </rPr>
      <t>μS/km)</t>
    </r>
  </si>
  <si>
    <t>Trecho</t>
  </si>
  <si>
    <t xml:space="preserve">Apartir daqui vamos realizar os calculos do Efeito Ferranti na linha. Primeiro é preciso descobrir o valor da costante de propagação. ( γ ) </t>
  </si>
  <si>
    <t xml:space="preserve">Comprimento da linha </t>
  </si>
  <si>
    <t>km</t>
  </si>
  <si>
    <t>Forma cartesiana</t>
  </si>
  <si>
    <t>cosh (γ*comp. LT)</t>
  </si>
  <si>
    <t>Obtido a constante de propagação da linha (γ) podemos obter a relação de tensão emissor / receptor</t>
  </si>
  <si>
    <t>Vr / VS</t>
  </si>
  <si>
    <t>Tensão da fonte</t>
  </si>
  <si>
    <t>kV</t>
  </si>
  <si>
    <t xml:space="preserve">Tensão recptor             L-L eficaz </t>
  </si>
  <si>
    <t>RESULTADOS DA SIMULAÇÃO</t>
  </si>
  <si>
    <t>B-C</t>
  </si>
  <si>
    <t>200 km</t>
  </si>
  <si>
    <t xml:space="preserve">400 km </t>
  </si>
  <si>
    <t xml:space="preserve">330 km </t>
  </si>
  <si>
    <t>Zr</t>
  </si>
  <si>
    <t>B</t>
  </si>
  <si>
    <t>B*L</t>
  </si>
  <si>
    <t xml:space="preserve">Qr </t>
  </si>
  <si>
    <t>Zr'</t>
  </si>
  <si>
    <t>Qr'</t>
  </si>
  <si>
    <t xml:space="preserve">Potencia Reativa </t>
  </si>
  <si>
    <t xml:space="preserve">Adimitância do sitema </t>
  </si>
  <si>
    <t xml:space="preserve">Impedância do reator shunt </t>
  </si>
  <si>
    <t xml:space="preserve">Compensador </t>
  </si>
  <si>
    <t>Dados fornecidos da linha de transmissão, apartir destes dados podemos desenvolver os calculos e a modelagem da linha do software ATPDraw.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</si>
</sst>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E+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1" fontId="5" fillId="0" borderId="1" xfId="0" applyNumberFormat="1" applyFont="1" applyBorder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164" fontId="0" fillId="0" borderId="0" xfId="0" applyNumberFormat="1" applyFont="1" applyBorder="1" applyAlignment="1"/>
    <xf numFmtId="0" fontId="7" fillId="0" borderId="0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8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11" fontId="0" fillId="0" borderId="18" xfId="0" applyNumberFormat="1" applyFont="1" applyBorder="1" applyAlignment="1">
      <alignment horizontal="center" vertical="center"/>
    </xf>
    <xf numFmtId="11" fontId="0" fillId="0" borderId="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11" fontId="7" fillId="9" borderId="20" xfId="0" applyNumberFormat="1" applyFont="1" applyFill="1" applyBorder="1" applyAlignment="1">
      <alignment horizontal="center" vertical="center"/>
    </xf>
    <xf numFmtId="11" fontId="7" fillId="9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99FF99"/>
      <color rgb="FF0099FF"/>
      <color rgb="FF0033CC"/>
      <color rgb="FF33CCFF"/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527050</xdr:colOff>
      <xdr:row>7</xdr:row>
      <xdr:rowOff>323850</xdr:rowOff>
    </xdr:from>
    <xdr:ext cx="65" cy="172227"/>
    <xdr:sp macro="" textlink="">
      <xdr:nvSpPr>
        <xdr:cNvPr id="2" name="CaixaDeTexto 1"/>
        <xdr:cNvSpPr txBox="1"/>
      </xdr:nvSpPr>
      <xdr:spPr>
        <a:xfrm>
          <a:off x="9051925" y="1524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527050</xdr:colOff>
      <xdr:row>7</xdr:row>
      <xdr:rowOff>323850</xdr:rowOff>
    </xdr:from>
    <xdr:ext cx="65" cy="172227"/>
    <xdr:sp macro="" textlink="">
      <xdr:nvSpPr>
        <xdr:cNvPr id="2" name="CaixaDeTexto 1"/>
        <xdr:cNvSpPr txBox="1"/>
      </xdr:nvSpPr>
      <xdr:spPr>
        <a:xfrm>
          <a:off x="9051925" y="1524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527050</xdr:colOff>
      <xdr:row>7</xdr:row>
      <xdr:rowOff>323850</xdr:rowOff>
    </xdr:from>
    <xdr:ext cx="65" cy="172227"/>
    <xdr:sp macro="" textlink="">
      <xdr:nvSpPr>
        <xdr:cNvPr id="2" name="CaixaDeTexto 1"/>
        <xdr:cNvSpPr txBox="1"/>
      </xdr:nvSpPr>
      <xdr:spPr>
        <a:xfrm>
          <a:off x="9051925" y="1524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1002"/>
  <sheetViews>
    <sheetView zoomScaleNormal="100" workbookViewId="0">
      <selection activeCell="B11" sqref="B11:J16"/>
    </sheetView>
  </sheetViews>
  <sheetFormatPr defaultColWidth="14.42578125" defaultRowHeight="15" customHeight="1" x14ac:dyDescent="0.25"/>
  <cols>
    <col min="1" max="1" width="8.7109375" customWidth="1"/>
    <col min="2" max="2" width="15.5703125" customWidth="1"/>
    <col min="3" max="3" width="22.42578125" customWidth="1"/>
    <col min="4" max="4" width="22.5703125" customWidth="1"/>
    <col min="5" max="8" width="8.7109375" customWidth="1"/>
    <col min="9" max="9" width="16.85546875" customWidth="1"/>
    <col min="10" max="10" width="15.5703125" customWidth="1"/>
    <col min="11" max="20" width="8.7109375" customWidth="1"/>
    <col min="21" max="22" width="10.5703125" bestFit="1" customWidth="1"/>
    <col min="23" max="26" width="8.7109375" customWidth="1"/>
  </cols>
  <sheetData>
    <row r="1" spans="2:24" ht="14.25" customHeight="1" x14ac:dyDescent="0.25"/>
    <row r="2" spans="2:24" ht="14.25" customHeight="1" x14ac:dyDescent="0.25">
      <c r="T2" s="13"/>
      <c r="U2" s="13"/>
      <c r="V2" s="13"/>
      <c r="W2" s="13"/>
      <c r="X2" s="13"/>
    </row>
    <row r="3" spans="2:24" ht="14.25" customHeight="1" x14ac:dyDescent="0.25">
      <c r="T3" s="13"/>
      <c r="U3" s="13"/>
      <c r="V3" s="13"/>
      <c r="W3" s="13"/>
      <c r="X3" s="13"/>
    </row>
    <row r="4" spans="2:24" ht="14.25" customHeight="1" x14ac:dyDescent="0.25">
      <c r="B4" s="20" t="s">
        <v>0</v>
      </c>
      <c r="C4" s="20"/>
      <c r="D4" s="20"/>
      <c r="E4" s="20"/>
      <c r="F4" s="20"/>
      <c r="G4" s="20"/>
      <c r="H4" s="20"/>
      <c r="I4" s="20"/>
      <c r="J4" s="20"/>
      <c r="T4" s="13"/>
      <c r="U4" s="13"/>
      <c r="V4" s="13"/>
      <c r="W4" s="13"/>
      <c r="X4" s="13"/>
    </row>
    <row r="5" spans="2:24" ht="14.25" customHeight="1" x14ac:dyDescent="0.25">
      <c r="B5" s="20"/>
      <c r="C5" s="20"/>
      <c r="D5" s="20"/>
      <c r="E5" s="20"/>
      <c r="F5" s="20"/>
      <c r="G5" s="20"/>
      <c r="H5" s="20"/>
      <c r="I5" s="20"/>
      <c r="J5" s="20"/>
      <c r="T5" s="13"/>
      <c r="U5" s="13"/>
      <c r="V5" s="13"/>
      <c r="W5" s="13"/>
      <c r="X5" s="13"/>
    </row>
    <row r="6" spans="2:24" ht="14.25" customHeight="1" x14ac:dyDescent="0.25">
      <c r="B6" s="20"/>
      <c r="C6" s="20"/>
      <c r="D6" s="20"/>
      <c r="E6" s="20"/>
      <c r="F6" s="20"/>
      <c r="G6" s="20"/>
      <c r="H6" s="20"/>
      <c r="I6" s="20"/>
      <c r="J6" s="20"/>
      <c r="T6" s="13"/>
      <c r="U6" s="13"/>
      <c r="V6" s="13"/>
      <c r="W6" s="13"/>
      <c r="X6" s="13"/>
    </row>
    <row r="7" spans="2:24" ht="14.25" customHeight="1" x14ac:dyDescent="0.3">
      <c r="B7" s="7" t="s">
        <v>26</v>
      </c>
      <c r="C7" s="4" t="s">
        <v>1</v>
      </c>
      <c r="D7" s="19" t="s">
        <v>24</v>
      </c>
      <c r="E7" s="19"/>
      <c r="F7" s="19"/>
      <c r="G7" s="19"/>
      <c r="H7" s="22" t="s">
        <v>25</v>
      </c>
      <c r="I7" s="22"/>
      <c r="J7" s="22"/>
      <c r="T7" s="13"/>
      <c r="U7" s="14"/>
      <c r="V7" s="12"/>
      <c r="W7" s="13"/>
      <c r="X7" s="13"/>
    </row>
    <row r="8" spans="2:24" ht="14.25" customHeight="1" x14ac:dyDescent="0.3">
      <c r="B8" s="5" t="s">
        <v>23</v>
      </c>
      <c r="C8" s="6">
        <v>66.400000000000006</v>
      </c>
      <c r="D8" s="19" t="str">
        <f>COMPLEX(0.0227,0.3572,"j")</f>
        <v>0,0227+0,3572j</v>
      </c>
      <c r="E8" s="19"/>
      <c r="F8" s="19"/>
      <c r="G8" s="19"/>
      <c r="H8" s="22">
        <v>4.6130000000000004</v>
      </c>
      <c r="I8" s="22"/>
      <c r="J8" s="22"/>
      <c r="T8" s="13"/>
      <c r="U8" s="15"/>
      <c r="V8" s="15"/>
      <c r="W8" s="13"/>
      <c r="X8" s="13"/>
    </row>
    <row r="9" spans="2:24" ht="14.25" customHeight="1" x14ac:dyDescent="0.3">
      <c r="B9" s="5" t="s">
        <v>38</v>
      </c>
      <c r="C9" s="6">
        <v>165.2</v>
      </c>
      <c r="D9" s="19"/>
      <c r="E9" s="19"/>
      <c r="F9" s="19"/>
      <c r="G9" s="19"/>
      <c r="H9" s="22"/>
      <c r="I9" s="22"/>
      <c r="J9" s="22"/>
      <c r="T9" s="13"/>
      <c r="U9" s="15"/>
      <c r="V9" s="15"/>
      <c r="W9" s="13"/>
      <c r="X9" s="13"/>
    </row>
    <row r="10" spans="2:24" ht="14.25" customHeight="1" x14ac:dyDescent="0.3">
      <c r="B10" s="5" t="s">
        <v>22</v>
      </c>
      <c r="C10" s="6">
        <v>223</v>
      </c>
      <c r="D10" s="19"/>
      <c r="E10" s="19"/>
      <c r="F10" s="19"/>
      <c r="G10" s="19"/>
      <c r="H10" s="22"/>
      <c r="I10" s="22"/>
      <c r="J10" s="22"/>
      <c r="T10" s="13"/>
      <c r="U10" s="15"/>
      <c r="V10" s="15"/>
      <c r="W10" s="13"/>
      <c r="X10" s="13"/>
    </row>
    <row r="11" spans="2:24" ht="14.25" customHeight="1" x14ac:dyDescent="0.25">
      <c r="B11" s="21" t="s">
        <v>52</v>
      </c>
      <c r="C11" s="21"/>
      <c r="D11" s="21"/>
      <c r="E11" s="21"/>
      <c r="F11" s="21"/>
      <c r="G11" s="21"/>
      <c r="H11" s="21"/>
      <c r="I11" s="21"/>
      <c r="J11" s="21"/>
      <c r="T11" s="13"/>
      <c r="U11" s="13"/>
      <c r="V11" s="13"/>
      <c r="W11" s="13"/>
      <c r="X11" s="13"/>
    </row>
    <row r="12" spans="2:24" x14ac:dyDescent="0.25">
      <c r="B12" s="21"/>
      <c r="C12" s="21"/>
      <c r="D12" s="21"/>
      <c r="E12" s="21"/>
      <c r="F12" s="21"/>
      <c r="G12" s="21"/>
      <c r="H12" s="21"/>
      <c r="I12" s="21"/>
      <c r="J12" s="21"/>
      <c r="T12" s="13"/>
      <c r="U12" s="13"/>
      <c r="V12" s="13"/>
      <c r="W12" s="13"/>
      <c r="X12" s="13"/>
    </row>
    <row r="13" spans="2:24" ht="14.25" customHeight="1" x14ac:dyDescent="0.25">
      <c r="B13" s="21"/>
      <c r="C13" s="21"/>
      <c r="D13" s="21"/>
      <c r="E13" s="21"/>
      <c r="F13" s="21"/>
      <c r="G13" s="21"/>
      <c r="H13" s="21"/>
      <c r="I13" s="21"/>
      <c r="J13" s="21"/>
      <c r="T13" s="13"/>
      <c r="U13" s="13"/>
      <c r="V13" s="13"/>
      <c r="W13" s="13"/>
      <c r="X13" s="13"/>
    </row>
    <row r="14" spans="2:24" x14ac:dyDescent="0.25">
      <c r="B14" s="21"/>
      <c r="C14" s="21"/>
      <c r="D14" s="21"/>
      <c r="E14" s="21"/>
      <c r="F14" s="21"/>
      <c r="G14" s="21"/>
      <c r="H14" s="21"/>
      <c r="I14" s="21"/>
      <c r="J14" s="21"/>
      <c r="T14" s="13"/>
      <c r="U14" s="13"/>
      <c r="V14" s="13"/>
      <c r="W14" s="13"/>
      <c r="X14" s="13"/>
    </row>
    <row r="15" spans="2:24" x14ac:dyDescent="0.25">
      <c r="B15" s="21"/>
      <c r="C15" s="21"/>
      <c r="D15" s="21"/>
      <c r="E15" s="21"/>
      <c r="F15" s="21"/>
      <c r="G15" s="21"/>
      <c r="H15" s="21"/>
      <c r="I15" s="21"/>
      <c r="J15" s="21"/>
      <c r="T15" s="13"/>
      <c r="U15" s="13"/>
      <c r="V15" s="13"/>
      <c r="W15" s="13"/>
      <c r="X15" s="13"/>
    </row>
    <row r="16" spans="2:24" x14ac:dyDescent="0.25">
      <c r="B16" s="21"/>
      <c r="C16" s="21"/>
      <c r="D16" s="21"/>
      <c r="E16" s="21"/>
      <c r="F16" s="21"/>
      <c r="G16" s="21"/>
      <c r="H16" s="21"/>
      <c r="I16" s="21"/>
      <c r="J16" s="21"/>
      <c r="T16" s="13"/>
      <c r="U16" s="13"/>
      <c r="V16" s="13"/>
      <c r="W16" s="13"/>
      <c r="X16" s="13"/>
    </row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mergeCells count="6">
    <mergeCell ref="D8:G10"/>
    <mergeCell ref="D7:G7"/>
    <mergeCell ref="B4:J6"/>
    <mergeCell ref="B11:J16"/>
    <mergeCell ref="H7:J7"/>
    <mergeCell ref="H8:J10"/>
  </mergeCells>
  <pageMargins left="0.511811024" right="0.511811024" top="0.78740157499999996" bottom="0.78740157499999996" header="0" footer="0"/>
  <pageSetup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24"/>
  <sheetViews>
    <sheetView zoomScale="80" zoomScaleNormal="80" workbookViewId="0">
      <selection activeCell="N18" sqref="N18"/>
    </sheetView>
  </sheetViews>
  <sheetFormatPr defaultRowHeight="15" x14ac:dyDescent="0.25"/>
  <cols>
    <col min="2" max="2" width="9.5703125" bestFit="1" customWidth="1"/>
    <col min="3" max="3" width="11.7109375" customWidth="1"/>
    <col min="4" max="4" width="21.140625" customWidth="1"/>
    <col min="5" max="5" width="18.5703125" bestFit="1" customWidth="1"/>
    <col min="7" max="8" width="9.140625" customWidth="1"/>
    <col min="9" max="9" width="9.28515625" customWidth="1"/>
    <col min="10" max="10" width="9.140625" customWidth="1"/>
    <col min="11" max="11" width="11.85546875" bestFit="1" customWidth="1"/>
    <col min="17" max="17" width="11" bestFit="1" customWidth="1"/>
  </cols>
  <sheetData>
    <row r="2" spans="2:21" ht="15" customHeight="1" x14ac:dyDescent="0.25">
      <c r="B2" s="56" t="s">
        <v>2</v>
      </c>
      <c r="C2" s="56"/>
      <c r="D2" s="56"/>
      <c r="E2" s="56"/>
      <c r="H2" s="57" t="s">
        <v>32</v>
      </c>
      <c r="I2" s="57"/>
      <c r="J2" s="57"/>
      <c r="K2" s="57"/>
      <c r="L2" s="57"/>
      <c r="M2" s="57"/>
      <c r="N2" s="57"/>
      <c r="O2" s="57"/>
    </row>
    <row r="3" spans="2:21" x14ac:dyDescent="0.25">
      <c r="B3" s="56"/>
      <c r="C3" s="56"/>
      <c r="D3" s="56"/>
      <c r="E3" s="56"/>
      <c r="H3" s="57"/>
      <c r="I3" s="57"/>
      <c r="J3" s="57"/>
      <c r="K3" s="57"/>
      <c r="L3" s="57"/>
      <c r="M3" s="57"/>
      <c r="N3" s="57"/>
      <c r="O3" s="57"/>
    </row>
    <row r="4" spans="2:21" x14ac:dyDescent="0.25">
      <c r="B4" s="58" t="s">
        <v>3</v>
      </c>
      <c r="C4" s="59"/>
      <c r="D4" s="9">
        <v>2.2700000000000001E-2</v>
      </c>
      <c r="E4" s="3" t="s">
        <v>13</v>
      </c>
      <c r="H4" s="57"/>
      <c r="I4" s="57"/>
      <c r="J4" s="57"/>
      <c r="K4" s="57"/>
      <c r="L4" s="57"/>
      <c r="M4" s="57"/>
      <c r="N4" s="57"/>
      <c r="O4" s="57"/>
    </row>
    <row r="5" spans="2:21" ht="15" customHeight="1" x14ac:dyDescent="0.25">
      <c r="B5" s="54" t="s">
        <v>4</v>
      </c>
      <c r="C5" s="55"/>
      <c r="D5" s="2">
        <f>0.3572/377</f>
        <v>9.4748010610079579E-4</v>
      </c>
      <c r="E5" s="9" t="s">
        <v>9</v>
      </c>
      <c r="H5" s="60" t="s">
        <v>19</v>
      </c>
      <c r="I5" s="60"/>
      <c r="J5" s="52">
        <f>C22*D9</f>
        <v>0.25698326200891669</v>
      </c>
      <c r="K5" s="52"/>
      <c r="L5" s="52"/>
      <c r="M5" s="52"/>
      <c r="N5" s="52"/>
      <c r="O5" s="52"/>
    </row>
    <row r="6" spans="2:21" ht="15" customHeight="1" x14ac:dyDescent="0.25">
      <c r="B6" s="54" t="s">
        <v>5</v>
      </c>
      <c r="C6" s="55"/>
      <c r="D6" s="2">
        <f>0.000004613/377</f>
        <v>1.2236074270557029E-8</v>
      </c>
      <c r="E6" s="9" t="s">
        <v>10</v>
      </c>
      <c r="H6" s="52" t="s">
        <v>30</v>
      </c>
      <c r="I6" s="52"/>
      <c r="J6" s="52">
        <f>J5*COS(F22)</f>
        <v>8.1534786567749214E-3</v>
      </c>
      <c r="K6" s="52"/>
      <c r="L6" s="52"/>
      <c r="M6" s="52">
        <f>J5*SIN(F22)</f>
        <v>0.256853884024628</v>
      </c>
      <c r="N6" s="52"/>
      <c r="O6" s="52"/>
    </row>
    <row r="7" spans="2:21" x14ac:dyDescent="0.25">
      <c r="B7" s="54" t="s">
        <v>6</v>
      </c>
      <c r="C7" s="55"/>
      <c r="D7" s="9">
        <v>0</v>
      </c>
      <c r="E7" s="9" t="s">
        <v>11</v>
      </c>
      <c r="H7" s="52"/>
      <c r="I7" s="52"/>
      <c r="J7" s="52"/>
      <c r="K7" s="52"/>
      <c r="L7" s="52"/>
      <c r="M7" s="52"/>
      <c r="N7" s="52"/>
      <c r="O7" s="52"/>
    </row>
    <row r="8" spans="2:21" ht="15" customHeight="1" x14ac:dyDescent="0.25">
      <c r="B8" s="53" t="s">
        <v>7</v>
      </c>
      <c r="C8" s="28"/>
      <c r="D8" s="1">
        <f>PI()*2*60</f>
        <v>376.99111843077515</v>
      </c>
      <c r="E8" s="9" t="s">
        <v>12</v>
      </c>
      <c r="H8" s="52"/>
      <c r="I8" s="52"/>
      <c r="J8" s="52" t="str">
        <f>COMPLEX(J6,M6,"j")</f>
        <v>0,00815347865677492+0,256853884024628j</v>
      </c>
      <c r="K8" s="52"/>
      <c r="L8" s="52"/>
      <c r="M8" s="52"/>
      <c r="N8" s="52"/>
      <c r="O8" s="52"/>
    </row>
    <row r="9" spans="2:21" ht="15" customHeight="1" x14ac:dyDescent="0.25">
      <c r="B9" s="53" t="s">
        <v>28</v>
      </c>
      <c r="C9" s="28"/>
      <c r="D9" s="1">
        <v>200</v>
      </c>
      <c r="E9" s="9" t="s">
        <v>29</v>
      </c>
      <c r="H9" s="52" t="s">
        <v>31</v>
      </c>
      <c r="I9" s="52"/>
      <c r="J9" s="52" t="str">
        <f>_xlfn.IMCOSH(J8)</f>
        <v>0,967226148675996+0,002071323777743j</v>
      </c>
      <c r="K9" s="52"/>
      <c r="L9" s="52"/>
      <c r="M9" s="52"/>
      <c r="N9" s="52"/>
      <c r="O9" s="52"/>
    </row>
    <row r="10" spans="2:21" x14ac:dyDescent="0.25">
      <c r="B10" s="53" t="s">
        <v>34</v>
      </c>
      <c r="C10" s="28"/>
      <c r="D10" s="1">
        <v>500</v>
      </c>
      <c r="E10" s="9" t="s">
        <v>35</v>
      </c>
      <c r="H10" s="52"/>
      <c r="I10" s="52"/>
      <c r="J10" s="52">
        <f>IMABS(J9)</f>
        <v>0.96722836655300404</v>
      </c>
      <c r="K10" s="52"/>
      <c r="L10" s="52"/>
      <c r="M10" s="52"/>
      <c r="N10" s="11" t="s">
        <v>20</v>
      </c>
      <c r="O10" s="11" t="s">
        <v>21</v>
      </c>
    </row>
    <row r="11" spans="2:21" x14ac:dyDescent="0.25">
      <c r="H11" s="52"/>
      <c r="I11" s="52"/>
      <c r="J11" s="52"/>
      <c r="K11" s="52"/>
      <c r="L11" s="52"/>
      <c r="M11" s="52"/>
      <c r="N11" s="11">
        <f>DEGREES(IMARGUMENT(J9))</f>
        <v>0.12269925622978278</v>
      </c>
      <c r="O11" s="11">
        <f>IMARGUMENT(J9)</f>
        <v>2.1415060109578735E-3</v>
      </c>
    </row>
    <row r="12" spans="2:21" ht="12" customHeight="1" x14ac:dyDescent="0.25">
      <c r="H12" s="52" t="s">
        <v>33</v>
      </c>
      <c r="I12" s="52"/>
      <c r="J12" s="52">
        <f>1/J10</f>
        <v>1.0338820019968884</v>
      </c>
      <c r="K12" s="52"/>
      <c r="L12" s="52"/>
      <c r="M12" s="52"/>
      <c r="N12" s="52"/>
      <c r="O12" s="52"/>
      <c r="U12" s="33"/>
    </row>
    <row r="13" spans="2:21" ht="12.75" customHeight="1" x14ac:dyDescent="0.25">
      <c r="H13" s="52"/>
      <c r="I13" s="52"/>
      <c r="J13" s="52"/>
      <c r="K13" s="52"/>
      <c r="L13" s="52"/>
      <c r="M13" s="52"/>
      <c r="N13" s="52"/>
      <c r="O13" s="52"/>
      <c r="U13" s="33"/>
    </row>
    <row r="14" spans="2:21" x14ac:dyDescent="0.25">
      <c r="H14" s="34" t="s">
        <v>36</v>
      </c>
      <c r="I14" s="35"/>
      <c r="J14" s="36">
        <f>J12*D10</f>
        <v>516.94100099844422</v>
      </c>
      <c r="K14" s="36"/>
      <c r="L14" s="36"/>
      <c r="M14" s="36"/>
      <c r="N14" s="36"/>
      <c r="O14" s="36"/>
    </row>
    <row r="15" spans="2:21" x14ac:dyDescent="0.25">
      <c r="B15" s="37" t="s">
        <v>27</v>
      </c>
      <c r="C15" s="38"/>
      <c r="D15" s="38"/>
      <c r="E15" s="38"/>
      <c r="F15" s="39"/>
      <c r="H15" s="35"/>
      <c r="I15" s="35"/>
      <c r="J15" s="36"/>
      <c r="K15" s="36"/>
      <c r="L15" s="36"/>
      <c r="M15" s="36"/>
      <c r="N15" s="36"/>
      <c r="O15" s="36"/>
    </row>
    <row r="16" spans="2:21" x14ac:dyDescent="0.25">
      <c r="B16" s="40"/>
      <c r="C16" s="41"/>
      <c r="D16" s="41"/>
      <c r="E16" s="41"/>
      <c r="F16" s="42"/>
    </row>
    <row r="17" spans="2:15" ht="30.6" customHeight="1" x14ac:dyDescent="0.25">
      <c r="B17" s="43"/>
      <c r="C17" s="44"/>
      <c r="D17" s="44"/>
      <c r="E17" s="44"/>
      <c r="F17" s="45"/>
      <c r="H17" s="46" t="s">
        <v>37</v>
      </c>
      <c r="I17" s="47"/>
      <c r="J17" s="47"/>
      <c r="K17" s="47"/>
      <c r="L17" s="48"/>
    </row>
    <row r="18" spans="2:15" ht="30" customHeight="1" x14ac:dyDescent="0.25">
      <c r="B18" s="10" t="s">
        <v>14</v>
      </c>
      <c r="C18" s="23" t="str">
        <f>COMPLEX(D4,D8*D5,"j" )</f>
        <v>0,0227+0,357191584889849j</v>
      </c>
      <c r="D18" s="24"/>
      <c r="E18" s="8"/>
      <c r="F18" s="8"/>
      <c r="H18" s="49"/>
      <c r="I18" s="50"/>
      <c r="J18" s="50"/>
      <c r="K18" s="50"/>
      <c r="L18" s="51"/>
    </row>
    <row r="19" spans="2:15" x14ac:dyDescent="0.25">
      <c r="B19" s="10" t="s">
        <v>15</v>
      </c>
      <c r="C19" s="29" t="str">
        <f>COMPLEX(D7,D6*D8,"j")</f>
        <v>4,61289132445933E-06j</v>
      </c>
      <c r="D19" s="30"/>
      <c r="E19" s="8"/>
      <c r="F19" s="8"/>
      <c r="H19" s="31"/>
      <c r="I19" s="32"/>
      <c r="J19" s="28" t="s">
        <v>8</v>
      </c>
      <c r="K19" s="28"/>
      <c r="L19" s="28"/>
    </row>
    <row r="20" spans="2:15" x14ac:dyDescent="0.25">
      <c r="B20" s="10" t="s">
        <v>16</v>
      </c>
      <c r="C20" s="23" t="str">
        <f>IMPRODUCT(C18,C19)</f>
        <v>-1,64768596310826E-06+1,04712633065227E-07j</v>
      </c>
      <c r="D20" s="24"/>
      <c r="E20" s="8"/>
      <c r="F20" s="8"/>
      <c r="H20" s="25" t="s">
        <v>39</v>
      </c>
      <c r="I20" s="26"/>
      <c r="J20" s="27">
        <v>516430</v>
      </c>
      <c r="K20" s="27"/>
      <c r="L20" s="27"/>
    </row>
    <row r="21" spans="2:15" x14ac:dyDescent="0.25">
      <c r="B21" s="8" t="s">
        <v>17</v>
      </c>
      <c r="C21" s="23" t="str">
        <f>IMSQRT(C20)</f>
        <v>0,0000407673932838746+0,00128426942012314j</v>
      </c>
      <c r="D21" s="24"/>
      <c r="E21" s="8" t="s">
        <v>20</v>
      </c>
      <c r="F21" s="8" t="s">
        <v>21</v>
      </c>
      <c r="H21" s="25" t="s">
        <v>41</v>
      </c>
      <c r="I21" s="26"/>
      <c r="J21" s="27">
        <v>548620</v>
      </c>
      <c r="K21" s="27"/>
      <c r="L21" s="27"/>
    </row>
    <row r="22" spans="2:15" x14ac:dyDescent="0.25">
      <c r="B22" s="8" t="s">
        <v>18</v>
      </c>
      <c r="C22" s="28">
        <f>IMABS(C21)</f>
        <v>1.2849163100445834E-3</v>
      </c>
      <c r="D22" s="28"/>
      <c r="E22" s="8">
        <f>DEGREES(IMARGUMENT(C21))</f>
        <v>88.181833615945919</v>
      </c>
      <c r="F22" s="8">
        <f>IMARGUMENT(C21)</f>
        <v>1.5390633370440732</v>
      </c>
      <c r="H22" s="25" t="s">
        <v>40</v>
      </c>
      <c r="I22" s="28"/>
      <c r="J22" s="27">
        <v>575210</v>
      </c>
      <c r="K22" s="27"/>
      <c r="L22" s="27"/>
    </row>
    <row r="24" spans="2:15" x14ac:dyDescent="0.25">
      <c r="M24" s="16"/>
      <c r="N24" s="16"/>
      <c r="O24" s="16"/>
    </row>
  </sheetData>
  <mergeCells count="38">
    <mergeCell ref="B2:E3"/>
    <mergeCell ref="H2:O4"/>
    <mergeCell ref="B4:C4"/>
    <mergeCell ref="B5:C5"/>
    <mergeCell ref="H5:I5"/>
    <mergeCell ref="J5:O5"/>
    <mergeCell ref="B6:C6"/>
    <mergeCell ref="H6:I8"/>
    <mergeCell ref="J6:L7"/>
    <mergeCell ref="M6:O7"/>
    <mergeCell ref="B7:C7"/>
    <mergeCell ref="B8:C8"/>
    <mergeCell ref="J8:O8"/>
    <mergeCell ref="B9:C9"/>
    <mergeCell ref="H9:I11"/>
    <mergeCell ref="J9:O9"/>
    <mergeCell ref="B10:C10"/>
    <mergeCell ref="J10:M11"/>
    <mergeCell ref="U12:U13"/>
    <mergeCell ref="H14:I15"/>
    <mergeCell ref="J14:O15"/>
    <mergeCell ref="B15:F17"/>
    <mergeCell ref="C18:D18"/>
    <mergeCell ref="H17:L18"/>
    <mergeCell ref="H12:I13"/>
    <mergeCell ref="J12:O13"/>
    <mergeCell ref="C19:D19"/>
    <mergeCell ref="H19:I19"/>
    <mergeCell ref="J19:L19"/>
    <mergeCell ref="C20:D20"/>
    <mergeCell ref="H20:I20"/>
    <mergeCell ref="J20:L20"/>
    <mergeCell ref="C21:D21"/>
    <mergeCell ref="H21:I21"/>
    <mergeCell ref="J21:L21"/>
    <mergeCell ref="C22:D22"/>
    <mergeCell ref="H22:I22"/>
    <mergeCell ref="J22:L22"/>
  </mergeCells>
  <pageMargins left="0.511811024" right="0.511811024" top="0.78740157499999996" bottom="0.78740157499999996" header="0.31496062000000002" footer="0.31496062000000002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22"/>
  <sheetViews>
    <sheetView topLeftCell="A2" zoomScale="80" zoomScaleNormal="80" workbookViewId="0">
      <selection activeCell="S16" sqref="S16"/>
    </sheetView>
  </sheetViews>
  <sheetFormatPr defaultRowHeight="15" x14ac:dyDescent="0.25"/>
  <cols>
    <col min="2" max="2" width="9.5703125" bestFit="1" customWidth="1"/>
    <col min="3" max="3" width="11.7109375" customWidth="1"/>
    <col min="4" max="4" width="21.140625" customWidth="1"/>
    <col min="5" max="5" width="18.5703125" bestFit="1" customWidth="1"/>
    <col min="7" max="8" width="9.140625" customWidth="1"/>
    <col min="9" max="9" width="9.28515625" customWidth="1"/>
    <col min="10" max="10" width="9.140625" customWidth="1"/>
    <col min="11" max="11" width="11.85546875" bestFit="1" customWidth="1"/>
    <col min="17" max="17" width="11" bestFit="1" customWidth="1"/>
  </cols>
  <sheetData>
    <row r="2" spans="2:21" ht="15" customHeight="1" x14ac:dyDescent="0.25">
      <c r="B2" s="56" t="s">
        <v>2</v>
      </c>
      <c r="C2" s="56"/>
      <c r="D2" s="56"/>
      <c r="E2" s="56"/>
      <c r="H2" s="57" t="s">
        <v>32</v>
      </c>
      <c r="I2" s="57"/>
      <c r="J2" s="57"/>
      <c r="K2" s="57"/>
      <c r="L2" s="57"/>
      <c r="M2" s="57"/>
      <c r="N2" s="57"/>
      <c r="O2" s="57"/>
    </row>
    <row r="3" spans="2:21" x14ac:dyDescent="0.25">
      <c r="B3" s="56"/>
      <c r="C3" s="56"/>
      <c r="D3" s="56"/>
      <c r="E3" s="56"/>
      <c r="H3" s="57"/>
      <c r="I3" s="57"/>
      <c r="J3" s="57"/>
      <c r="K3" s="57"/>
      <c r="L3" s="57"/>
      <c r="M3" s="57"/>
      <c r="N3" s="57"/>
      <c r="O3" s="57"/>
    </row>
    <row r="4" spans="2:21" x14ac:dyDescent="0.25">
      <c r="B4" s="58" t="s">
        <v>3</v>
      </c>
      <c r="C4" s="59"/>
      <c r="D4" s="9">
        <v>2.2700000000000001E-2</v>
      </c>
      <c r="E4" s="3" t="s">
        <v>13</v>
      </c>
      <c r="H4" s="57"/>
      <c r="I4" s="57"/>
      <c r="J4" s="57"/>
      <c r="K4" s="57"/>
      <c r="L4" s="57"/>
      <c r="M4" s="57"/>
      <c r="N4" s="57"/>
      <c r="O4" s="57"/>
    </row>
    <row r="5" spans="2:21" ht="15" customHeight="1" x14ac:dyDescent="0.25">
      <c r="B5" s="54" t="s">
        <v>4</v>
      </c>
      <c r="C5" s="55"/>
      <c r="D5" s="2">
        <f>0.3572/377</f>
        <v>9.4748010610079579E-4</v>
      </c>
      <c r="E5" s="9" t="s">
        <v>9</v>
      </c>
      <c r="H5" s="60" t="s">
        <v>19</v>
      </c>
      <c r="I5" s="60"/>
      <c r="J5" s="52">
        <f>C22*D9</f>
        <v>0.42402238231471251</v>
      </c>
      <c r="K5" s="52"/>
      <c r="L5" s="52"/>
      <c r="M5" s="52"/>
      <c r="N5" s="52"/>
      <c r="O5" s="52"/>
    </row>
    <row r="6" spans="2:21" ht="15" customHeight="1" x14ac:dyDescent="0.25">
      <c r="B6" s="54" t="s">
        <v>5</v>
      </c>
      <c r="C6" s="55"/>
      <c r="D6" s="2">
        <f>0.000004613/377</f>
        <v>1.2236074270557029E-8</v>
      </c>
      <c r="E6" s="9" t="s">
        <v>10</v>
      </c>
      <c r="H6" s="52" t="s">
        <v>30</v>
      </c>
      <c r="I6" s="52"/>
      <c r="J6" s="52">
        <f>J5*COS(F22)</f>
        <v>1.3453239783678619E-2</v>
      </c>
      <c r="K6" s="52"/>
      <c r="L6" s="52"/>
      <c r="M6" s="52">
        <f>J5*SIN(F22)</f>
        <v>0.42380890864063614</v>
      </c>
      <c r="N6" s="52"/>
      <c r="O6" s="52"/>
    </row>
    <row r="7" spans="2:21" x14ac:dyDescent="0.25">
      <c r="B7" s="54" t="s">
        <v>6</v>
      </c>
      <c r="C7" s="55"/>
      <c r="D7" s="9">
        <v>0</v>
      </c>
      <c r="E7" s="9" t="s">
        <v>11</v>
      </c>
      <c r="H7" s="52"/>
      <c r="I7" s="52"/>
      <c r="J7" s="52"/>
      <c r="K7" s="52"/>
      <c r="L7" s="52"/>
      <c r="M7" s="52"/>
      <c r="N7" s="52"/>
      <c r="O7" s="52"/>
    </row>
    <row r="8" spans="2:21" ht="15" customHeight="1" x14ac:dyDescent="0.25">
      <c r="B8" s="53" t="s">
        <v>7</v>
      </c>
      <c r="C8" s="28"/>
      <c r="D8" s="1">
        <f>PI()*2*60</f>
        <v>376.99111843077515</v>
      </c>
      <c r="E8" s="9" t="s">
        <v>12</v>
      </c>
      <c r="H8" s="52"/>
      <c r="I8" s="52"/>
      <c r="J8" s="52" t="str">
        <f>COMPLEX(J6,M6,"j")</f>
        <v>0,0134532397836786+0,423808908640636j</v>
      </c>
      <c r="K8" s="52"/>
      <c r="L8" s="52"/>
      <c r="M8" s="52"/>
      <c r="N8" s="52"/>
      <c r="O8" s="52"/>
    </row>
    <row r="9" spans="2:21" ht="15" customHeight="1" x14ac:dyDescent="0.25">
      <c r="B9" s="53" t="s">
        <v>28</v>
      </c>
      <c r="C9" s="28"/>
      <c r="D9" s="1">
        <v>330</v>
      </c>
      <c r="E9" s="9" t="s">
        <v>29</v>
      </c>
      <c r="H9" s="52" t="s">
        <v>31</v>
      </c>
      <c r="I9" s="52"/>
      <c r="J9" s="52" t="str">
        <f>_xlfn.IMCOSH(J8)</f>
        <v>0,911611688237999+0,00553261478176388j</v>
      </c>
      <c r="K9" s="52"/>
      <c r="L9" s="52"/>
      <c r="M9" s="52"/>
      <c r="N9" s="52"/>
      <c r="O9" s="52"/>
    </row>
    <row r="10" spans="2:21" x14ac:dyDescent="0.25">
      <c r="B10" s="53" t="s">
        <v>34</v>
      </c>
      <c r="C10" s="28"/>
      <c r="D10" s="1">
        <v>500</v>
      </c>
      <c r="E10" s="9" t="s">
        <v>35</v>
      </c>
      <c r="H10" s="52"/>
      <c r="I10" s="52"/>
      <c r="J10" s="52">
        <f>IMABS(J9)</f>
        <v>0.91162847693479721</v>
      </c>
      <c r="K10" s="52"/>
      <c r="L10" s="52"/>
      <c r="M10" s="52"/>
      <c r="N10" s="11" t="s">
        <v>20</v>
      </c>
      <c r="O10" s="11" t="s">
        <v>21</v>
      </c>
    </row>
    <row r="11" spans="2:21" x14ac:dyDescent="0.25">
      <c r="H11" s="52"/>
      <c r="I11" s="52"/>
      <c r="J11" s="52"/>
      <c r="K11" s="52"/>
      <c r="L11" s="52"/>
      <c r="M11" s="52"/>
      <c r="N11" s="11">
        <f>DEGREES(IMARGUMENT(J9))</f>
        <v>0.34772654721529567</v>
      </c>
      <c r="O11" s="11">
        <f>IMARGUMENT(J9)</f>
        <v>6.0689731454984285E-3</v>
      </c>
    </row>
    <row r="12" spans="2:21" ht="12" customHeight="1" x14ac:dyDescent="0.25">
      <c r="H12" s="52" t="s">
        <v>33</v>
      </c>
      <c r="I12" s="52"/>
      <c r="J12" s="52">
        <f>1/J10</f>
        <v>1.0969380896945407</v>
      </c>
      <c r="K12" s="52"/>
      <c r="L12" s="52"/>
      <c r="M12" s="52"/>
      <c r="N12" s="52"/>
      <c r="O12" s="52"/>
      <c r="U12" s="33"/>
    </row>
    <row r="13" spans="2:21" ht="12.75" customHeight="1" x14ac:dyDescent="0.25">
      <c r="H13" s="52"/>
      <c r="I13" s="52"/>
      <c r="J13" s="52"/>
      <c r="K13" s="52"/>
      <c r="L13" s="52"/>
      <c r="M13" s="52"/>
      <c r="N13" s="52"/>
      <c r="O13" s="52"/>
      <c r="U13" s="33"/>
    </row>
    <row r="14" spans="2:21" x14ac:dyDescent="0.25">
      <c r="H14" s="34" t="s">
        <v>36</v>
      </c>
      <c r="I14" s="35"/>
      <c r="J14" s="36">
        <f>J12*D10</f>
        <v>548.46904484727031</v>
      </c>
      <c r="K14" s="36"/>
      <c r="L14" s="36"/>
      <c r="M14" s="36"/>
      <c r="N14" s="36"/>
      <c r="O14" s="36"/>
    </row>
    <row r="15" spans="2:21" x14ac:dyDescent="0.25">
      <c r="B15" s="37" t="s">
        <v>27</v>
      </c>
      <c r="C15" s="38"/>
      <c r="D15" s="38"/>
      <c r="E15" s="38"/>
      <c r="F15" s="39"/>
      <c r="H15" s="35"/>
      <c r="I15" s="35"/>
      <c r="J15" s="36"/>
      <c r="K15" s="36"/>
      <c r="L15" s="36"/>
      <c r="M15" s="36"/>
      <c r="N15" s="36"/>
      <c r="O15" s="36"/>
    </row>
    <row r="16" spans="2:21" x14ac:dyDescent="0.25">
      <c r="B16" s="40"/>
      <c r="C16" s="41"/>
      <c r="D16" s="41"/>
      <c r="E16" s="41"/>
      <c r="F16" s="42"/>
    </row>
    <row r="17" spans="2:12" ht="30.6" customHeight="1" x14ac:dyDescent="0.25">
      <c r="B17" s="43"/>
      <c r="C17" s="44"/>
      <c r="D17" s="44"/>
      <c r="E17" s="44"/>
      <c r="F17" s="45"/>
      <c r="H17" s="46" t="s">
        <v>37</v>
      </c>
      <c r="I17" s="47"/>
      <c r="J17" s="47"/>
      <c r="K17" s="47"/>
      <c r="L17" s="48"/>
    </row>
    <row r="18" spans="2:12" ht="30" customHeight="1" x14ac:dyDescent="0.25">
      <c r="B18" s="10" t="s">
        <v>14</v>
      </c>
      <c r="C18" s="23" t="str">
        <f>COMPLEX(D4,D8*D5,"j" )</f>
        <v>0,0227+0,357191584889849j</v>
      </c>
      <c r="D18" s="24"/>
      <c r="E18" s="8"/>
      <c r="F18" s="8"/>
      <c r="H18" s="49"/>
      <c r="I18" s="50"/>
      <c r="J18" s="50"/>
      <c r="K18" s="50"/>
      <c r="L18" s="51"/>
    </row>
    <row r="19" spans="2:12" x14ac:dyDescent="0.25">
      <c r="B19" s="10" t="s">
        <v>15</v>
      </c>
      <c r="C19" s="29" t="str">
        <f>COMPLEX(D7,D6*D8,"j")</f>
        <v>4,61289132445933E-06j</v>
      </c>
      <c r="D19" s="30"/>
      <c r="E19" s="8"/>
      <c r="F19" s="8"/>
      <c r="H19" s="31"/>
      <c r="I19" s="32"/>
      <c r="J19" s="28" t="s">
        <v>8</v>
      </c>
      <c r="K19" s="28"/>
      <c r="L19" s="28"/>
    </row>
    <row r="20" spans="2:12" x14ac:dyDescent="0.25">
      <c r="B20" s="10" t="s">
        <v>16</v>
      </c>
      <c r="C20" s="23" t="str">
        <f>IMPRODUCT(C18,C19)</f>
        <v>-1,64768596310826E-06+1,04712633065227E-07j</v>
      </c>
      <c r="D20" s="24"/>
      <c r="E20" s="8"/>
      <c r="F20" s="8"/>
      <c r="H20" s="25" t="s">
        <v>39</v>
      </c>
      <c r="I20" s="26"/>
      <c r="J20" s="27">
        <v>516430</v>
      </c>
      <c r="K20" s="27"/>
      <c r="L20" s="27"/>
    </row>
    <row r="21" spans="2:12" x14ac:dyDescent="0.25">
      <c r="B21" s="8" t="s">
        <v>17</v>
      </c>
      <c r="C21" s="23" t="str">
        <f>IMSQRT(C20)</f>
        <v>0,0000407673932838746+0,00128426942012314j</v>
      </c>
      <c r="D21" s="24"/>
      <c r="E21" s="8" t="s">
        <v>20</v>
      </c>
      <c r="F21" s="8" t="s">
        <v>21</v>
      </c>
      <c r="H21" s="25" t="s">
        <v>41</v>
      </c>
      <c r="I21" s="26"/>
      <c r="J21" s="27">
        <v>548620</v>
      </c>
      <c r="K21" s="27"/>
      <c r="L21" s="27"/>
    </row>
    <row r="22" spans="2:12" x14ac:dyDescent="0.25">
      <c r="B22" s="8" t="s">
        <v>18</v>
      </c>
      <c r="C22" s="28">
        <f>IMABS(C21)</f>
        <v>1.2849163100445834E-3</v>
      </c>
      <c r="D22" s="28"/>
      <c r="E22" s="8">
        <f>DEGREES(IMARGUMENT(C21))</f>
        <v>88.181833615945919</v>
      </c>
      <c r="F22" s="8">
        <f>IMARGUMENT(C21)</f>
        <v>1.5390633370440732</v>
      </c>
      <c r="H22" s="25" t="s">
        <v>40</v>
      </c>
      <c r="I22" s="28"/>
      <c r="J22" s="27">
        <v>575210</v>
      </c>
      <c r="K22" s="27"/>
      <c r="L22" s="27"/>
    </row>
  </sheetData>
  <mergeCells count="38">
    <mergeCell ref="B2:E3"/>
    <mergeCell ref="H2:O4"/>
    <mergeCell ref="B4:C4"/>
    <mergeCell ref="B5:C5"/>
    <mergeCell ref="H5:I5"/>
    <mergeCell ref="J5:O5"/>
    <mergeCell ref="B6:C6"/>
    <mergeCell ref="H6:I8"/>
    <mergeCell ref="J6:L7"/>
    <mergeCell ref="M6:O7"/>
    <mergeCell ref="B7:C7"/>
    <mergeCell ref="B8:C8"/>
    <mergeCell ref="J8:O8"/>
    <mergeCell ref="B9:C9"/>
    <mergeCell ref="H9:I11"/>
    <mergeCell ref="J9:O9"/>
    <mergeCell ref="B10:C10"/>
    <mergeCell ref="J10:M11"/>
    <mergeCell ref="U12:U13"/>
    <mergeCell ref="H14:I15"/>
    <mergeCell ref="J14:O15"/>
    <mergeCell ref="B15:F17"/>
    <mergeCell ref="C18:D18"/>
    <mergeCell ref="H17:L18"/>
    <mergeCell ref="H12:I13"/>
    <mergeCell ref="J12:O13"/>
    <mergeCell ref="C19:D19"/>
    <mergeCell ref="H19:I19"/>
    <mergeCell ref="J19:L19"/>
    <mergeCell ref="C20:D20"/>
    <mergeCell ref="H20:I20"/>
    <mergeCell ref="J20:L20"/>
    <mergeCell ref="C21:D21"/>
    <mergeCell ref="H21:I21"/>
    <mergeCell ref="J21:L21"/>
    <mergeCell ref="C22:D22"/>
    <mergeCell ref="H22:I22"/>
    <mergeCell ref="J22:L22"/>
  </mergeCells>
  <pageMargins left="0.511811024" right="0.511811024" top="0.78740157499999996" bottom="0.78740157499999996" header="0.31496062000000002" footer="0.31496062000000002"/>
  <pageSetup paperSize="9"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22"/>
  <sheetViews>
    <sheetView topLeftCell="A2" zoomScale="80" zoomScaleNormal="80" workbookViewId="0">
      <selection activeCell="D30" sqref="D30"/>
    </sheetView>
  </sheetViews>
  <sheetFormatPr defaultRowHeight="15" x14ac:dyDescent="0.25"/>
  <cols>
    <col min="2" max="2" width="9.5703125" bestFit="1" customWidth="1"/>
    <col min="3" max="3" width="11.7109375" customWidth="1"/>
    <col min="4" max="4" width="21.140625" customWidth="1"/>
    <col min="5" max="5" width="18.5703125" bestFit="1" customWidth="1"/>
    <col min="7" max="8" width="9.140625" customWidth="1"/>
    <col min="9" max="9" width="9.28515625" customWidth="1"/>
    <col min="10" max="10" width="9.140625" customWidth="1"/>
    <col min="11" max="11" width="11.85546875" bestFit="1" customWidth="1"/>
    <col min="17" max="17" width="11" bestFit="1" customWidth="1"/>
  </cols>
  <sheetData>
    <row r="2" spans="2:21" ht="15" customHeight="1" x14ac:dyDescent="0.25">
      <c r="B2" s="56" t="s">
        <v>2</v>
      </c>
      <c r="C2" s="56"/>
      <c r="D2" s="56"/>
      <c r="E2" s="56"/>
      <c r="H2" s="57" t="s">
        <v>32</v>
      </c>
      <c r="I2" s="57"/>
      <c r="J2" s="57"/>
      <c r="K2" s="57"/>
      <c r="L2" s="57"/>
      <c r="M2" s="57"/>
      <c r="N2" s="57"/>
      <c r="O2" s="57"/>
    </row>
    <row r="3" spans="2:21" x14ac:dyDescent="0.25">
      <c r="B3" s="56"/>
      <c r="C3" s="56"/>
      <c r="D3" s="56"/>
      <c r="E3" s="56"/>
      <c r="H3" s="57"/>
      <c r="I3" s="57"/>
      <c r="J3" s="57"/>
      <c r="K3" s="57"/>
      <c r="L3" s="57"/>
      <c r="M3" s="57"/>
      <c r="N3" s="57"/>
      <c r="O3" s="57"/>
    </row>
    <row r="4" spans="2:21" x14ac:dyDescent="0.25">
      <c r="B4" s="58" t="s">
        <v>3</v>
      </c>
      <c r="C4" s="59"/>
      <c r="D4" s="9">
        <v>2.2700000000000001E-2</v>
      </c>
      <c r="E4" s="3" t="s">
        <v>13</v>
      </c>
      <c r="H4" s="57"/>
      <c r="I4" s="57"/>
      <c r="J4" s="57"/>
      <c r="K4" s="57"/>
      <c r="L4" s="57"/>
      <c r="M4" s="57"/>
      <c r="N4" s="57"/>
      <c r="O4" s="57"/>
    </row>
    <row r="5" spans="2:21" ht="15" customHeight="1" x14ac:dyDescent="0.25">
      <c r="B5" s="54" t="s">
        <v>4</v>
      </c>
      <c r="C5" s="55"/>
      <c r="D5" s="2">
        <f>0.3572/377</f>
        <v>9.4748010610079579E-4</v>
      </c>
      <c r="E5" s="9" t="s">
        <v>9</v>
      </c>
      <c r="H5" s="60" t="s">
        <v>19</v>
      </c>
      <c r="I5" s="60"/>
      <c r="J5" s="52">
        <f>C22*D9</f>
        <v>0.51396652401783338</v>
      </c>
      <c r="K5" s="52"/>
      <c r="L5" s="52"/>
      <c r="M5" s="52"/>
      <c r="N5" s="52"/>
      <c r="O5" s="52"/>
    </row>
    <row r="6" spans="2:21" ht="15" customHeight="1" x14ac:dyDescent="0.25">
      <c r="B6" s="54" t="s">
        <v>5</v>
      </c>
      <c r="C6" s="55"/>
      <c r="D6" s="2">
        <f>0.000004613/377</f>
        <v>1.2236074270557029E-8</v>
      </c>
      <c r="E6" s="9" t="s">
        <v>10</v>
      </c>
      <c r="H6" s="52" t="s">
        <v>30</v>
      </c>
      <c r="I6" s="52"/>
      <c r="J6" s="52">
        <f>J5*COS(F22)</f>
        <v>1.6306957313549843E-2</v>
      </c>
      <c r="K6" s="52"/>
      <c r="L6" s="52"/>
      <c r="M6" s="52">
        <f>J5*SIN(F22)</f>
        <v>0.513707768049256</v>
      </c>
      <c r="N6" s="52"/>
      <c r="O6" s="52"/>
    </row>
    <row r="7" spans="2:21" x14ac:dyDescent="0.25">
      <c r="B7" s="54" t="s">
        <v>6</v>
      </c>
      <c r="C7" s="55"/>
      <c r="D7" s="9">
        <v>0</v>
      </c>
      <c r="E7" s="9" t="s">
        <v>11</v>
      </c>
      <c r="H7" s="52"/>
      <c r="I7" s="52"/>
      <c r="J7" s="52"/>
      <c r="K7" s="52"/>
      <c r="L7" s="52"/>
      <c r="M7" s="52"/>
      <c r="N7" s="52"/>
      <c r="O7" s="52"/>
    </row>
    <row r="8" spans="2:21" ht="15" customHeight="1" x14ac:dyDescent="0.25">
      <c r="B8" s="53" t="s">
        <v>7</v>
      </c>
      <c r="C8" s="28"/>
      <c r="D8" s="1">
        <f>PI()*2*60</f>
        <v>376.99111843077515</v>
      </c>
      <c r="E8" s="9" t="s">
        <v>12</v>
      </c>
      <c r="H8" s="52"/>
      <c r="I8" s="52"/>
      <c r="J8" s="52" t="str">
        <f>COMPLEX(J6,M6,"j")</f>
        <v>0,0163069573135498+0,513707768049256j</v>
      </c>
      <c r="K8" s="52"/>
      <c r="L8" s="52"/>
      <c r="M8" s="52"/>
      <c r="N8" s="52"/>
      <c r="O8" s="52"/>
    </row>
    <row r="9" spans="2:21" ht="15" customHeight="1" x14ac:dyDescent="0.25">
      <c r="B9" s="53" t="s">
        <v>28</v>
      </c>
      <c r="C9" s="28"/>
      <c r="D9" s="1">
        <v>400</v>
      </c>
      <c r="E9" s="9" t="s">
        <v>29</v>
      </c>
      <c r="H9" s="52" t="s">
        <v>31</v>
      </c>
      <c r="I9" s="52"/>
      <c r="J9" s="52" t="str">
        <f>_xlfn.IMCOSH(J8)</f>
        <v>0,871044264600815+0,00801375408082947j</v>
      </c>
      <c r="K9" s="52"/>
      <c r="L9" s="52"/>
      <c r="M9" s="52"/>
      <c r="N9" s="52"/>
      <c r="O9" s="52"/>
    </row>
    <row r="10" spans="2:21" x14ac:dyDescent="0.25">
      <c r="B10" s="53" t="s">
        <v>34</v>
      </c>
      <c r="C10" s="28"/>
      <c r="D10" s="1">
        <v>500</v>
      </c>
      <c r="E10" s="9" t="s">
        <v>35</v>
      </c>
      <c r="H10" s="52"/>
      <c r="I10" s="52"/>
      <c r="J10" s="52">
        <f>IMABS(J9)</f>
        <v>0.87108112776505642</v>
      </c>
      <c r="K10" s="52"/>
      <c r="L10" s="52"/>
      <c r="M10" s="52"/>
      <c r="N10" s="11" t="s">
        <v>20</v>
      </c>
      <c r="O10" s="11" t="s">
        <v>21</v>
      </c>
    </row>
    <row r="11" spans="2:21" x14ac:dyDescent="0.25">
      <c r="H11" s="52"/>
      <c r="I11" s="52"/>
      <c r="J11" s="52"/>
      <c r="K11" s="52"/>
      <c r="L11" s="52"/>
      <c r="M11" s="52"/>
      <c r="N11" s="11">
        <f>DEGREES(IMARGUMENT(J9))</f>
        <v>0.52711595892069563</v>
      </c>
      <c r="O11" s="11">
        <f>IMARGUMENT(J9)</f>
        <v>9.1999090229733134E-3</v>
      </c>
    </row>
    <row r="12" spans="2:21" ht="12" customHeight="1" x14ac:dyDescent="0.25">
      <c r="H12" s="52" t="s">
        <v>33</v>
      </c>
      <c r="I12" s="52"/>
      <c r="J12" s="52">
        <f>1/J10</f>
        <v>1.1479986973953991</v>
      </c>
      <c r="K12" s="52"/>
      <c r="L12" s="52"/>
      <c r="M12" s="52"/>
      <c r="N12" s="52"/>
      <c r="O12" s="52"/>
      <c r="U12" s="33"/>
    </row>
    <row r="13" spans="2:21" ht="12.75" customHeight="1" x14ac:dyDescent="0.25">
      <c r="H13" s="52"/>
      <c r="I13" s="52"/>
      <c r="J13" s="52"/>
      <c r="K13" s="52"/>
      <c r="L13" s="52"/>
      <c r="M13" s="52"/>
      <c r="N13" s="52"/>
      <c r="O13" s="52"/>
      <c r="U13" s="33"/>
    </row>
    <row r="14" spans="2:21" x14ac:dyDescent="0.25">
      <c r="H14" s="34" t="s">
        <v>36</v>
      </c>
      <c r="I14" s="35"/>
      <c r="J14" s="36">
        <f>J12*D10</f>
        <v>573.99934869769947</v>
      </c>
      <c r="K14" s="36"/>
      <c r="L14" s="36"/>
      <c r="M14" s="36"/>
      <c r="N14" s="36"/>
      <c r="O14" s="36"/>
    </row>
    <row r="15" spans="2:21" x14ac:dyDescent="0.25">
      <c r="B15" s="37" t="s">
        <v>27</v>
      </c>
      <c r="C15" s="38"/>
      <c r="D15" s="38"/>
      <c r="E15" s="38"/>
      <c r="F15" s="39"/>
      <c r="H15" s="35"/>
      <c r="I15" s="35"/>
      <c r="J15" s="36"/>
      <c r="K15" s="36"/>
      <c r="L15" s="36"/>
      <c r="M15" s="36"/>
      <c r="N15" s="36"/>
      <c r="O15" s="36"/>
    </row>
    <row r="16" spans="2:21" x14ac:dyDescent="0.25">
      <c r="B16" s="40"/>
      <c r="C16" s="41"/>
      <c r="D16" s="41"/>
      <c r="E16" s="41"/>
      <c r="F16" s="42"/>
    </row>
    <row r="17" spans="2:12" ht="30.6" customHeight="1" x14ac:dyDescent="0.25">
      <c r="B17" s="43"/>
      <c r="C17" s="44"/>
      <c r="D17" s="44"/>
      <c r="E17" s="44"/>
      <c r="F17" s="45"/>
      <c r="H17" s="46" t="s">
        <v>37</v>
      </c>
      <c r="I17" s="47"/>
      <c r="J17" s="47"/>
      <c r="K17" s="47"/>
      <c r="L17" s="48"/>
    </row>
    <row r="18" spans="2:12" ht="30" customHeight="1" x14ac:dyDescent="0.25">
      <c r="B18" s="10" t="s">
        <v>14</v>
      </c>
      <c r="C18" s="23" t="str">
        <f>COMPLEX(D4,D8*D5,"j" )</f>
        <v>0,0227+0,357191584889849j</v>
      </c>
      <c r="D18" s="24"/>
      <c r="E18" s="8"/>
      <c r="F18" s="8"/>
      <c r="H18" s="49"/>
      <c r="I18" s="50"/>
      <c r="J18" s="50"/>
      <c r="K18" s="50"/>
      <c r="L18" s="51"/>
    </row>
    <row r="19" spans="2:12" x14ac:dyDescent="0.25">
      <c r="B19" s="10" t="s">
        <v>15</v>
      </c>
      <c r="C19" s="29" t="str">
        <f>COMPLEX(D7,D6*D8,"j")</f>
        <v>4,61289132445933E-06j</v>
      </c>
      <c r="D19" s="30"/>
      <c r="E19" s="8"/>
      <c r="F19" s="8"/>
      <c r="H19" s="31"/>
      <c r="I19" s="32"/>
      <c r="J19" s="28" t="s">
        <v>8</v>
      </c>
      <c r="K19" s="28"/>
      <c r="L19" s="28"/>
    </row>
    <row r="20" spans="2:12" x14ac:dyDescent="0.25">
      <c r="B20" s="10" t="s">
        <v>16</v>
      </c>
      <c r="C20" s="23" t="str">
        <f>IMPRODUCT(C18,C19)</f>
        <v>-1,64768596310826E-06+1,04712633065227E-07j</v>
      </c>
      <c r="D20" s="24"/>
      <c r="E20" s="8"/>
      <c r="F20" s="8"/>
      <c r="H20" s="25" t="s">
        <v>39</v>
      </c>
      <c r="I20" s="26"/>
      <c r="J20" s="27">
        <v>516430</v>
      </c>
      <c r="K20" s="27"/>
      <c r="L20" s="27"/>
    </row>
    <row r="21" spans="2:12" x14ac:dyDescent="0.25">
      <c r="B21" s="8" t="s">
        <v>17</v>
      </c>
      <c r="C21" s="23" t="str">
        <f>IMSQRT(C20)</f>
        <v>0,0000407673932838746+0,00128426942012314j</v>
      </c>
      <c r="D21" s="24"/>
      <c r="E21" s="8" t="s">
        <v>20</v>
      </c>
      <c r="F21" s="8" t="s">
        <v>21</v>
      </c>
      <c r="H21" s="25" t="s">
        <v>41</v>
      </c>
      <c r="I21" s="26"/>
      <c r="J21" s="27">
        <v>548620</v>
      </c>
      <c r="K21" s="27"/>
      <c r="L21" s="27"/>
    </row>
    <row r="22" spans="2:12" x14ac:dyDescent="0.25">
      <c r="B22" s="8" t="s">
        <v>18</v>
      </c>
      <c r="C22" s="28">
        <f>IMABS(C21)</f>
        <v>1.2849163100445834E-3</v>
      </c>
      <c r="D22" s="28"/>
      <c r="E22" s="8">
        <f>DEGREES(IMARGUMENT(C21))</f>
        <v>88.181833615945919</v>
      </c>
      <c r="F22" s="8">
        <f>IMARGUMENT(C21)</f>
        <v>1.5390633370440732</v>
      </c>
      <c r="H22" s="25" t="s">
        <v>40</v>
      </c>
      <c r="I22" s="28"/>
      <c r="J22" s="27">
        <v>575210</v>
      </c>
      <c r="K22" s="27"/>
      <c r="L22" s="27"/>
    </row>
  </sheetData>
  <mergeCells count="38">
    <mergeCell ref="B2:E3"/>
    <mergeCell ref="H2:O4"/>
    <mergeCell ref="B4:C4"/>
    <mergeCell ref="B5:C5"/>
    <mergeCell ref="H5:I5"/>
    <mergeCell ref="J5:O5"/>
    <mergeCell ref="B6:C6"/>
    <mergeCell ref="H6:I8"/>
    <mergeCell ref="J6:L7"/>
    <mergeCell ref="M6:O7"/>
    <mergeCell ref="B7:C7"/>
    <mergeCell ref="B8:C8"/>
    <mergeCell ref="J8:O8"/>
    <mergeCell ref="B9:C9"/>
    <mergeCell ref="H9:I11"/>
    <mergeCell ref="J9:O9"/>
    <mergeCell ref="B10:C10"/>
    <mergeCell ref="J10:M11"/>
    <mergeCell ref="U12:U13"/>
    <mergeCell ref="H14:I15"/>
    <mergeCell ref="J14:O15"/>
    <mergeCell ref="B15:F17"/>
    <mergeCell ref="C18:D18"/>
    <mergeCell ref="H17:L18"/>
    <mergeCell ref="H12:I13"/>
    <mergeCell ref="J12:O13"/>
    <mergeCell ref="C19:D19"/>
    <mergeCell ref="H19:I19"/>
    <mergeCell ref="J19:L19"/>
    <mergeCell ref="C20:D20"/>
    <mergeCell ref="H20:I20"/>
    <mergeCell ref="J20:L20"/>
    <mergeCell ref="C21:D21"/>
    <mergeCell ref="H21:I21"/>
    <mergeCell ref="J21:L21"/>
    <mergeCell ref="C22:D22"/>
    <mergeCell ref="H22:I22"/>
    <mergeCell ref="J22:L22"/>
  </mergeCells>
  <pageMargins left="0.511811024" right="0.511811024" top="0.78740157499999996" bottom="0.78740157499999996" header="0.31496062000000002" footer="0.31496062000000002"/>
  <pageSetup paperSize="9"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tabSelected="1" workbookViewId="0">
      <selection activeCell="N17" sqref="N17"/>
    </sheetView>
  </sheetViews>
  <sheetFormatPr defaultRowHeight="15" x14ac:dyDescent="0.25"/>
  <cols>
    <col min="3" max="3" width="12" customWidth="1"/>
  </cols>
  <sheetData>
    <row r="1" spans="2:5" ht="15.75" thickBot="1" x14ac:dyDescent="0.3"/>
    <row r="2" spans="2:5" ht="15.75" thickTop="1" x14ac:dyDescent="0.25">
      <c r="B2" s="62" t="s">
        <v>51</v>
      </c>
      <c r="C2" s="63"/>
      <c r="D2" s="63"/>
      <c r="E2" s="64"/>
    </row>
    <row r="3" spans="2:5" x14ac:dyDescent="0.25">
      <c r="B3" s="65"/>
      <c r="C3" s="61"/>
      <c r="D3" s="61"/>
      <c r="E3" s="66"/>
    </row>
    <row r="4" spans="2:5" x14ac:dyDescent="0.25">
      <c r="B4" s="67" t="s">
        <v>49</v>
      </c>
      <c r="C4" s="52"/>
      <c r="D4" s="52" t="s">
        <v>48</v>
      </c>
      <c r="E4" s="68"/>
    </row>
    <row r="5" spans="2:5" x14ac:dyDescent="0.25">
      <c r="B5" s="69" t="s">
        <v>43</v>
      </c>
      <c r="C5" s="18">
        <v>4.6129999999999997E-6</v>
      </c>
      <c r="D5" s="17" t="s">
        <v>45</v>
      </c>
      <c r="E5" s="70">
        <f>(D9^2)/C7</f>
        <v>230.65</v>
      </c>
    </row>
    <row r="6" spans="2:5" x14ac:dyDescent="0.25">
      <c r="B6" s="69" t="s">
        <v>44</v>
      </c>
      <c r="C6" s="18">
        <f>C5*D8</f>
        <v>1.8452E-3</v>
      </c>
      <c r="D6" s="52" t="s">
        <v>47</v>
      </c>
      <c r="E6" s="71">
        <f>0.6*E5</f>
        <v>138.38999999999999</v>
      </c>
    </row>
    <row r="7" spans="2:5" x14ac:dyDescent="0.25">
      <c r="B7" s="69" t="s">
        <v>42</v>
      </c>
      <c r="C7" s="18">
        <f>2/C6</f>
        <v>1083.8933448948624</v>
      </c>
      <c r="D7" s="52"/>
      <c r="E7" s="71"/>
    </row>
    <row r="8" spans="2:5" x14ac:dyDescent="0.25">
      <c r="B8" s="72" t="s">
        <v>28</v>
      </c>
      <c r="C8" s="28"/>
      <c r="D8" s="1">
        <v>400</v>
      </c>
      <c r="E8" s="73" t="s">
        <v>29</v>
      </c>
    </row>
    <row r="9" spans="2:5" x14ac:dyDescent="0.25">
      <c r="B9" s="72" t="s">
        <v>34</v>
      </c>
      <c r="C9" s="28"/>
      <c r="D9" s="1">
        <v>500</v>
      </c>
      <c r="E9" s="73" t="s">
        <v>35</v>
      </c>
    </row>
    <row r="10" spans="2:5" x14ac:dyDescent="0.25">
      <c r="B10" s="67" t="s">
        <v>50</v>
      </c>
      <c r="C10" s="52"/>
      <c r="D10" s="52"/>
      <c r="E10" s="68"/>
    </row>
    <row r="11" spans="2:5" ht="15.75" thickBot="1" x14ac:dyDescent="0.3">
      <c r="B11" s="74" t="s">
        <v>46</v>
      </c>
      <c r="C11" s="75"/>
      <c r="D11" s="76">
        <f>(D9^2)/E6</f>
        <v>1806.4889081581041</v>
      </c>
      <c r="E11" s="77"/>
    </row>
    <row r="12" spans="2:5" ht="15.75" thickTop="1" x14ac:dyDescent="0.25"/>
  </sheetData>
  <mergeCells count="10">
    <mergeCell ref="B4:C4"/>
    <mergeCell ref="D4:E4"/>
    <mergeCell ref="B2:E3"/>
    <mergeCell ref="B10:E10"/>
    <mergeCell ref="B11:C11"/>
    <mergeCell ref="D11:E11"/>
    <mergeCell ref="B8:C8"/>
    <mergeCell ref="B9:C9"/>
    <mergeCell ref="D6:D7"/>
    <mergeCell ref="E6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Premissa</vt:lpstr>
      <vt:lpstr>Calculo_S_Compensação_200km</vt:lpstr>
      <vt:lpstr>Calculo_S_Compensação_330km</vt:lpstr>
      <vt:lpstr>Calculo_S_Compensação_400km</vt:lpstr>
      <vt:lpstr>Compensação_Reativa_P_400km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Faustino</dc:creator>
  <cp:lastModifiedBy>Lucas Faustino</cp:lastModifiedBy>
  <cp:lastPrinted>2025-11-06T16:21:04Z</cp:lastPrinted>
  <dcterms:created xsi:type="dcterms:W3CDTF">2025-09-09T00:43:25Z</dcterms:created>
  <dcterms:modified xsi:type="dcterms:W3CDTF">2025-12-07T18:05:17Z</dcterms:modified>
</cp:coreProperties>
</file>